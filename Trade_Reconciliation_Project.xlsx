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de_Data" sheetId="1" state="visible" r:id="rId3"/>
    <sheet name="Exception_Report" sheetId="2" state="visible" r:id="rId4"/>
    <sheet name="Dashboard" sheetId="3" state="visible" r:id="rId5"/>
    <sheet name="AI_Break_Investig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<sst xmlns="http://schemas.openxmlformats.org/spreadsheetml/2006/main" count="64" uniqueCount="45">
  <si>
    <t xml:space="preserve">Trade ID</t>
  </si>
  <si>
    <t xml:space="preserve">Security</t>
  </si>
  <si>
    <t xml:space="preserve">Internal Qty</t>
  </si>
  <si>
    <t xml:space="preserve">Counterparty Qty</t>
  </si>
  <si>
    <t xml:space="preserve">Internal Price</t>
  </si>
  <si>
    <t xml:space="preserve">Counterparty Price</t>
  </si>
  <si>
    <t xml:space="preserve">Internal Settlement Date</t>
  </si>
  <si>
    <t xml:space="preserve">Counterparty Settlement Date</t>
  </si>
  <si>
    <t xml:space="preserve">Quantity Check</t>
  </si>
  <si>
    <t xml:space="preserve">Price Check</t>
  </si>
  <si>
    <t xml:space="preserve">Settlement Check</t>
  </si>
  <si>
    <t xml:space="preserve">Final Status</t>
  </si>
  <si>
    <t xml:space="preserve">Quantity Difference</t>
  </si>
  <si>
    <t xml:space="preserve">Price Difference</t>
  </si>
  <si>
    <t xml:space="preserve">Settlement Difference</t>
  </si>
  <si>
    <t xml:space="preserve">T001</t>
  </si>
  <si>
    <t xml:space="preserve">ABC Ltd</t>
  </si>
  <si>
    <t xml:space="preserve">T002</t>
  </si>
  <si>
    <t xml:space="preserve">XYZ Ltd</t>
  </si>
  <si>
    <t xml:space="preserve">T003</t>
  </si>
  <si>
    <t xml:space="preserve">PQR Ltd</t>
  </si>
  <si>
    <t xml:space="preserve">T004</t>
  </si>
  <si>
    <t xml:space="preserve">DEF Ltd</t>
  </si>
  <si>
    <t xml:space="preserve">Break Type</t>
  </si>
  <si>
    <t xml:space="preserve">Difference</t>
  </si>
  <si>
    <t xml:space="preserve">Possible Reason</t>
  </si>
  <si>
    <t xml:space="preserve">Suggested Action</t>
  </si>
  <si>
    <t xml:space="preserve">Quantity Break</t>
  </si>
  <si>
    <t xml:space="preserve">Price Break</t>
  </si>
  <si>
    <t xml:space="preserve">Settlement Date Break</t>
  </si>
  <si>
    <t xml:space="preserve">Trade Reconciliation Dashboard</t>
  </si>
  <si>
    <t xml:space="preserve">Total Trades</t>
  </si>
  <si>
    <t xml:space="preserve">Matched Trades</t>
  </si>
  <si>
    <t xml:space="preserve">Total Breaks</t>
  </si>
  <si>
    <t xml:space="preserve">Quantity Breaks</t>
  </si>
  <si>
    <t xml:space="preserve">Price Breaks</t>
  </si>
  <si>
    <t xml:space="preserve">Settlement Breaks</t>
  </si>
  <si>
    <t xml:space="preserve">Match Rate</t>
  </si>
  <si>
    <t xml:space="preserve">Generated from Trade_Data (live formulas — updates automatically as rows are added)</t>
  </si>
  <si>
    <t xml:space="preserve">Possible trade booking or allocation quantity mismatch.</t>
  </si>
  <si>
    <t xml:space="preserve">Verify the trade confirmation and compare the booked quantity with the counterparty confirmation.</t>
  </si>
  <si>
    <t xml:space="preserve">Possible price discrepancy between internal and counterparty records.</t>
  </si>
  <si>
    <t xml:space="preserve">Check the trade confirmation, execution price and source trade record.</t>
  </si>
  <si>
    <t xml:space="preserve">Possible settlement instruction or settlement-date mismatch.</t>
  </si>
  <si>
    <t xml:space="preserve">Verify the agreed settlement date and check the settlement instructions.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</si>
</sst>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d\-mmm\-yy"/>
    <numFmt numFmtId="168" formatCode="#,##0;\(#,##0\)"/>
    <numFmt numFmtId="169" formatCode="#,##0.00;\(#,##0.00\)"/>
    <numFmt numFmtId="170" formatCode="0;\(0\)"/>
    <numFmt numFmtId="171" formatCode="General"/>
    <numFmt numFmtId="172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8B8B8B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Quantity Breaks</c:v>
                </c:pt>
                <c:pt idx="1">
                  <c:v>Price Breaks</c:v>
                </c:pt>
                <c:pt idx="2">
                  <c:v>Settlement Breaks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50467008"/>
        <c:axId val="51711794"/>
      </c:barChart>
      <c:catAx>
        <c:axId val="50467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11794"/>
        <c:crosses val="autoZero"/>
        <c:auto val="1"/>
        <c:lblAlgn val="ctr"/>
        <c:lblOffset val="100"/>
        <c:noMultiLvlLbl val="0"/>
      </c:catAx>
      <c:valAx>
        <c:axId val="5171179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670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Matched vs Break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Dashboard!$A$4:$A$5</c:f>
              <c:strCache>
                <c:ptCount val="2"/>
                <c:pt idx="0">
                  <c:v>Matched Trades</c:v>
                </c:pt>
                <c:pt idx="1">
                  <c:v>Total Breaks</c:v>
                </c:pt>
              </c:strCache>
            </c:strRef>
          </c:cat>
          <c:val>
            <c:numRef>
              <c:f>Dashboard!$B$4:$B$5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8</xdr:col>
      <xdr:colOff>511200</xdr:colOff>
      <xdr:row>15</xdr:row>
      <xdr:rowOff>166320</xdr:rowOff>
    </xdr:to>
    <xdr:graphicFrame>
      <xdr:nvGraphicFramePr>
        <xdr:cNvPr id="0" name="Chart 1"/>
        <xdr:cNvGraphicFramePr/>
      </xdr:nvGraphicFramePr>
      <xdr:xfrm>
        <a:off x="3312720" y="50472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8</xdr:col>
      <xdr:colOff>511200</xdr:colOff>
      <xdr:row>30</xdr:row>
      <xdr:rowOff>166680</xdr:rowOff>
    </xdr:to>
    <xdr:graphicFrame>
      <xdr:nvGraphicFramePr>
        <xdr:cNvPr id="1" name="Chart 2"/>
        <xdr:cNvGraphicFramePr/>
      </xdr:nvGraphicFramePr>
      <xdr:xfrm>
        <a:off x="3312720" y="321948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IBreakInvestigation" displayName="AIBreakInvestigation" ref="A1:E4" headerRowCount="1" totalsRowCount="0" totalsRowShown="0">
  <autoFilter ref="A1:E4"/>
  <tableColumns count="5">
    <tableColumn id="1" name="Trade ID"/>
    <tableColumn id="2" name="Break Type"/>
    <tableColumn id="3" name="Difference"/>
    <tableColumn id="4" name="Possible Reason"/>
    <tableColumn id="5" name="Suggested Action"/>
  </tableColumns>
</table>
</file>

<file path=xl/tables/table2.xml><?xml version="1.0" encoding="utf-8"?>
<table xmlns="http://schemas.openxmlformats.org/spreadsheetml/2006/main" id="2" name="ExceptionReport" displayName="ExceptionReport" ref="A1:F4" headerRowCount="1" totalsRowCount="0" totalsRowShown="0">
  <autoFilter ref="A1:F4"/>
  <tableColumns count="6">
    <tableColumn id="1" name="Trade ID"/>
    <tableColumn id="2" name="Security"/>
    <tableColumn id="3" name="Break Type"/>
    <tableColumn id="4" name="Difference"/>
    <tableColumn id="5" name="Possible Reason"/>
    <tableColumn id="6" name="Suggested Action"/>
  </tableColumns>
</table>
</file>

<file path=xl/tables/table3.xml><?xml version="1.0" encoding="utf-8"?>
<table xmlns="http://schemas.openxmlformats.org/spreadsheetml/2006/main" id="3" name="TradeData" displayName="TradeData" ref="A1:O5" headerRowCount="1" totalsRowCount="0" totalsRowShown="0">
  <autoFilter ref="A1:O5"/>
  <tableColumns count="15">
    <tableColumn id="1" name="Trade ID"/>
    <tableColumn id="2" name="Security"/>
    <tableColumn id="3" name="Internal Qty"/>
    <tableColumn id="4" name="Counterparty Qty"/>
    <tableColumn id="5" name="Internal Price"/>
    <tableColumn id="6" name="Counterparty Price"/>
    <tableColumn id="7" name="Internal Settlement Date"/>
    <tableColumn id="8" name="Counterparty Settlement Date"/>
    <tableColumn id="9" name="Quantity Check"/>
    <tableColumn id="10" name="Price Check"/>
    <tableColumn id="11" name="Settlement Check"/>
    <tableColumn id="12" name="Final Status"/>
    <tableColumn id="13" name="Quantity Difference"/>
    <tableColumn id="14" name="Price Difference"/>
    <tableColumn id="15" name="Settlement Differen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3" activeCellId="0" sqref="G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18"/>
    <col collapsed="false" customWidth="true" hidden="false" outlineLevel="0" max="15" min="12" style="1" width="1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4.25" hidden="false" customHeight="true" outlineLevel="0" collapsed="false">
      <c r="A2" s="3" t="s">
        <v>15</v>
      </c>
      <c r="B2" s="3" t="s">
        <v>16</v>
      </c>
      <c r="C2" s="4" t="n">
        <v>100</v>
      </c>
      <c r="D2" s="4" t="n">
        <v>100</v>
      </c>
      <c r="E2" s="5" t="n">
        <v>250</v>
      </c>
      <c r="F2" s="5" t="n">
        <v>250</v>
      </c>
      <c r="G2" s="6" t="n">
        <v>46285</v>
      </c>
      <c r="H2" s="6" t="n">
        <v>46285</v>
      </c>
      <c r="I2" s="7" t="str">
        <f aca="false">IF(C2=D2,"Match","Quantity Break")</f>
        <v>Match</v>
      </c>
      <c r="J2" s="7" t="str">
        <f aca="false">IF(E2=F2,"Match","Price Break")</f>
        <v>Match</v>
      </c>
      <c r="K2" s="7" t="str">
        <f aca="false">IF(G2=H2,"Match","Settlement Date Break")</f>
        <v>Match</v>
      </c>
      <c r="L2" s="7" t="str">
        <f aca="false">IF(AND(I2="Match",J2="Match",K2="Match"),"MATCH","BREAK")</f>
        <v>MATCH</v>
      </c>
      <c r="M2" s="8" t="n">
        <f aca="false">C2-D2</f>
        <v>0</v>
      </c>
      <c r="N2" s="9" t="n">
        <f aca="false">E2-F2</f>
        <v>0</v>
      </c>
      <c r="O2" s="10" t="n">
        <f aca="false">G2-H2</f>
        <v>0</v>
      </c>
    </row>
    <row r="3" customFormat="false" ht="14.25" hidden="false" customHeight="true" outlineLevel="0" collapsed="false">
      <c r="A3" s="3" t="s">
        <v>17</v>
      </c>
      <c r="B3" s="3" t="s">
        <v>18</v>
      </c>
      <c r="C3" s="4" t="n">
        <v>500</v>
      </c>
      <c r="D3" s="4" t="n">
        <v>520</v>
      </c>
      <c r="E3" s="5" t="n">
        <v>250</v>
      </c>
      <c r="F3" s="5" t="n">
        <v>250</v>
      </c>
      <c r="G3" s="6" t="n">
        <v>46285</v>
      </c>
      <c r="H3" s="6" t="n">
        <v>46285</v>
      </c>
      <c r="I3" s="7" t="str">
        <f aca="false">IF(C3=D3,"Match","Quantity Break")</f>
        <v>Quantity Break</v>
      </c>
      <c r="J3" s="7" t="str">
        <f aca="false">IF(E3=F3,"Match","Price Break")</f>
        <v>Match</v>
      </c>
      <c r="K3" s="7" t="str">
        <f aca="false">IF(G3=H3,"Match","Settlement Date Break")</f>
        <v>Match</v>
      </c>
      <c r="L3" s="7" t="str">
        <f aca="false">IF(AND(I3="Match",J3="Match",K3="Match"),"MATCH","BREAK")</f>
        <v>BREAK</v>
      </c>
      <c r="M3" s="8" t="n">
        <f aca="false">C3-D3</f>
        <v>-20</v>
      </c>
      <c r="N3" s="9" t="n">
        <f aca="false">E3-F3</f>
        <v>0</v>
      </c>
      <c r="O3" s="10" t="n">
        <f aca="false">G3-H3</f>
        <v>0</v>
      </c>
    </row>
    <row r="4" customFormat="false" ht="14.25" hidden="false" customHeight="true" outlineLevel="0" collapsed="false">
      <c r="A4" s="3" t="s">
        <v>19</v>
      </c>
      <c r="B4" s="3" t="s">
        <v>20</v>
      </c>
      <c r="C4" s="4" t="n">
        <v>200</v>
      </c>
      <c r="D4" s="4" t="n">
        <v>200</v>
      </c>
      <c r="E4" s="5" t="n">
        <v>250</v>
      </c>
      <c r="F4" s="5" t="n">
        <v>255</v>
      </c>
      <c r="G4" s="6" t="n">
        <v>46286</v>
      </c>
      <c r="H4" s="6" t="n">
        <v>46286</v>
      </c>
      <c r="I4" s="7" t="str">
        <f aca="false">IF(C4=D4,"Match","Quantity Break")</f>
        <v>Match</v>
      </c>
      <c r="J4" s="7" t="str">
        <f aca="false">IF(E4=F4,"Match","Price Break")</f>
        <v>Price Break</v>
      </c>
      <c r="K4" s="7" t="str">
        <f aca="false">IF(G4=H4,"Match","Settlement Date Break")</f>
        <v>Match</v>
      </c>
      <c r="L4" s="7" t="str">
        <f aca="false">IF(AND(I4="Match",J4="Match",K4="Match"),"MATCH","BREAK")</f>
        <v>BREAK</v>
      </c>
      <c r="M4" s="8" t="n">
        <f aca="false">C4-D4</f>
        <v>0</v>
      </c>
      <c r="N4" s="9" t="n">
        <f aca="false">E4-F4</f>
        <v>-5</v>
      </c>
      <c r="O4" s="10" t="n">
        <f aca="false">G4-H4</f>
        <v>0</v>
      </c>
    </row>
    <row r="5" customFormat="false" ht="14.25" hidden="false" customHeight="true" outlineLevel="0" collapsed="false">
      <c r="A5" s="3" t="s">
        <v>21</v>
      </c>
      <c r="B5" s="3" t="s">
        <v>22</v>
      </c>
      <c r="C5" s="4" t="n">
        <v>300</v>
      </c>
      <c r="D5" s="4" t="n">
        <v>300</v>
      </c>
      <c r="E5" s="5" t="n">
        <v>180</v>
      </c>
      <c r="F5" s="5" t="n">
        <v>180</v>
      </c>
      <c r="G5" s="6" t="n">
        <v>46285</v>
      </c>
      <c r="H5" s="6" t="n">
        <v>46287</v>
      </c>
      <c r="I5" s="7" t="str">
        <f aca="false">IF(C5=D5,"Match","Quantity Break")</f>
        <v>Match</v>
      </c>
      <c r="J5" s="7" t="str">
        <f aca="false">IF(E5=F5,"Match","Price Break")</f>
        <v>Match</v>
      </c>
      <c r="K5" s="7" t="str">
        <f aca="false">IF(G5=H5,"Match","Settlement Date Break")</f>
        <v>Settlement Date Break</v>
      </c>
      <c r="L5" s="7" t="str">
        <f aca="false">IF(AND(I5="Match",J5="Match",K5="Match"),"MATCH","BREAK")</f>
        <v>BREAK</v>
      </c>
      <c r="M5" s="8" t="n">
        <f aca="false">C5-D5</f>
        <v>0</v>
      </c>
      <c r="N5" s="9" t="n">
        <f aca="false">E5-F5</f>
        <v>0</v>
      </c>
      <c r="O5" s="10" t="n">
        <f aca="false">G5-H5</f>
        <v>-2</v>
      </c>
    </row>
  </sheetData>
  <conditionalFormatting sqref="I2:L5">
    <cfRule type="expression" priority="2" aboveAverage="0" equalAverage="0" bottom="0" percent="0" rank="0" text="" dxfId="7">
      <formula>SEARCH("Break",I2)</formula>
    </cfRule>
    <cfRule type="expression" priority="3" aboveAverage="0" equalAverage="0" bottom="0" percent="0" rank="0" text="" dxfId="8">
      <formula>I2="Match"</formula>
    </cfRule>
  </conditionalFormatting>
  <conditionalFormatting sqref="L2:L5">
    <cfRule type="cellIs" priority="4" operator="equal" aboveAverage="0" equalAverage="0" bottom="0" percent="0" rank="0" text="" dxfId="7">
      <formula>"BREAK"</formula>
    </cfRule>
    <cfRule type="cellIs" priority="5" operator="equal" aboveAverage="0" equalAverage="0" bottom="0" percent="0" rank="0" text="" dxfId="8">
      <formula>"MATCH"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0" width="45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23</v>
      </c>
      <c r="D1" s="2" t="s">
        <v>24</v>
      </c>
      <c r="E1" s="2" t="s">
        <v>25</v>
      </c>
      <c r="F1" s="2" t="s">
        <v>26</v>
      </c>
    </row>
    <row r="2" customFormat="false" ht="45" hidden="false" customHeight="true" outlineLevel="0" collapsed="false">
      <c r="A2" s="3" t="s">
        <v>17</v>
      </c>
      <c r="B2" s="3" t="s">
        <v>18</v>
      </c>
      <c r="C2" s="3" t="s">
        <v>27</v>
      </c>
      <c r="D2" s="9" t="n">
        <v>-20</v>
      </c>
      <c r="E2" s="11" t="str">
        <f aca="false">IFERROR(INDEX(AI_Break_Investigation!$D$2:$D$100,MATCH(A2,AI_Break_Investigation!$A$2:$A$100,0)),"")</f>
        <v>Possible trade booking or allocation quantity mismatch.</v>
      </c>
      <c r="F2" s="11" t="str">
        <f aca="false">IFERROR(INDEX(AI_Break_Investigation!$E$2:$E$100,MATCH(A2,AI_Break_Investigation!$A$2:$A$100,0)),"")</f>
        <v>Verify the trade confirmation and compare the booked quantity with the counterparty confirmation.</v>
      </c>
    </row>
    <row r="3" customFormat="false" ht="45" hidden="false" customHeight="true" outlineLevel="0" collapsed="false">
      <c r="A3" s="3" t="s">
        <v>19</v>
      </c>
      <c r="B3" s="3" t="s">
        <v>20</v>
      </c>
      <c r="C3" s="3" t="s">
        <v>28</v>
      </c>
      <c r="D3" s="9" t="n">
        <v>-5</v>
      </c>
      <c r="E3" s="11" t="str">
        <f aca="false">IFERROR(INDEX(AI_Break_Investigation!$D$2:$D$100,MATCH(A3,AI_Break_Investigation!$A$2:$A$100,0)),"")</f>
        <v>Possible price discrepancy between internal and counterparty records.</v>
      </c>
      <c r="F3" s="11" t="str">
        <f aca="false">IFERROR(INDEX(AI_Break_Investigation!$E$2:$E$100,MATCH(A3,AI_Break_Investigation!$A$2:$A$100,0)),"")</f>
        <v>Check the trade confirmation, execution price and source trade record.</v>
      </c>
    </row>
    <row r="4" customFormat="false" ht="45" hidden="false" customHeight="true" outlineLevel="0" collapsed="false">
      <c r="A4" s="3" t="s">
        <v>21</v>
      </c>
      <c r="B4" s="3" t="s">
        <v>22</v>
      </c>
      <c r="C4" s="3" t="s">
        <v>29</v>
      </c>
      <c r="D4" s="9" t="n">
        <v>-2</v>
      </c>
      <c r="E4" s="11" t="str">
        <f aca="false">IFERROR(INDEX(AI_Break_Investigation!$D$2:$D$100,MATCH(A4,AI_Break_Investigation!$A$2:$A$100,0)),"")</f>
        <v>Possible settlement instruction or settlement-date mismatch.</v>
      </c>
      <c r="F4" s="11" t="str">
        <f aca="false">IFERROR(INDEX(AI_Break_Investigation!$E$2:$E$100,MATCH(A4,AI_Break_Investigation!$A$2:$A$100,0)),"")</f>
        <v>Verify the agreed settlement date and check the settlement instructions.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5" min="3" style="1" width="14"/>
  </cols>
  <sheetData>
    <row r="1" customFormat="false" ht="25.5" hidden="false" customHeight="true" outlineLevel="0" collapsed="false">
      <c r="A1" s="12" t="s">
        <v>30</v>
      </c>
      <c r="B1" s="12"/>
      <c r="D1" s="13"/>
      <c r="E1" s="13"/>
    </row>
    <row r="3" customFormat="false" ht="14.25" hidden="false" customHeight="true" outlineLevel="0" collapsed="false">
      <c r="A3" s="14" t="s">
        <v>31</v>
      </c>
      <c r="B3" s="15" t="n">
        <f aca="false">COUNTA(Trade_Data!A2:A5)</f>
        <v>4</v>
      </c>
    </row>
    <row r="4" customFormat="false" ht="14.25" hidden="false" customHeight="true" outlineLevel="0" collapsed="false">
      <c r="A4" s="14" t="s">
        <v>32</v>
      </c>
      <c r="B4" s="15" t="n">
        <f aca="false">COUNTIF(Trade_Data!L2:L5,"MATCH")</f>
        <v>1</v>
      </c>
    </row>
    <row r="5" customFormat="false" ht="14.25" hidden="false" customHeight="true" outlineLevel="0" collapsed="false">
      <c r="A5" s="14" t="s">
        <v>33</v>
      </c>
      <c r="B5" s="15" t="n">
        <f aca="false">COUNTIF(Trade_Data!L2:L5,"BREAK")</f>
        <v>3</v>
      </c>
    </row>
    <row r="6" customFormat="false" ht="14.25" hidden="false" customHeight="true" outlineLevel="0" collapsed="false">
      <c r="A6" s="14" t="s">
        <v>34</v>
      </c>
      <c r="B6" s="15" t="n">
        <f aca="false">COUNTIF(Trade_Data!I2:I5,"Quantity Break")</f>
        <v>1</v>
      </c>
    </row>
    <row r="7" customFormat="false" ht="14.25" hidden="false" customHeight="true" outlineLevel="0" collapsed="false">
      <c r="A7" s="14" t="s">
        <v>35</v>
      </c>
      <c r="B7" s="15" t="n">
        <f aca="false">COUNTIF(Trade_Data!J2:J5,"Price Break")</f>
        <v>1</v>
      </c>
    </row>
    <row r="8" customFormat="false" ht="14.25" hidden="false" customHeight="true" outlineLevel="0" collapsed="false">
      <c r="A8" s="14" t="s">
        <v>36</v>
      </c>
      <c r="B8" s="15" t="n">
        <f aca="false">COUNTIF(Trade_Data!K2:K5,"Settlement Date Break")</f>
        <v>1</v>
      </c>
    </row>
    <row r="10" customFormat="false" ht="14.25" hidden="false" customHeight="true" outlineLevel="0" collapsed="false">
      <c r="A10" s="14" t="s">
        <v>37</v>
      </c>
      <c r="B10" s="16" t="n">
        <f aca="false">IF(B3=0,0,B4/B3)</f>
        <v>0.25</v>
      </c>
    </row>
    <row r="12" customFormat="false" ht="14.25" hidden="false" customHeight="true" outlineLevel="0" collapsed="false">
      <c r="A12" s="17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45"/>
    <col collapsed="false" customWidth="true" hidden="false" outlineLevel="0" max="5" min="5" style="1" width="55"/>
  </cols>
  <sheetData>
    <row r="1" customFormat="false" ht="27.75" hidden="false" customHeight="true" outlineLevel="0" collapsed="false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</row>
    <row r="2" customFormat="false" ht="45" hidden="false" customHeight="true" outlineLevel="0" collapsed="false">
      <c r="A2" s="3" t="s">
        <v>17</v>
      </c>
      <c r="B2" s="3" t="s">
        <v>27</v>
      </c>
      <c r="C2" s="18" t="n">
        <v>-20</v>
      </c>
      <c r="D2" s="11" t="s">
        <v>39</v>
      </c>
      <c r="E2" s="11" t="s">
        <v>40</v>
      </c>
    </row>
    <row r="3" customFormat="false" ht="45" hidden="false" customHeight="true" outlineLevel="0" collapsed="false">
      <c r="A3" s="3" t="s">
        <v>19</v>
      </c>
      <c r="B3" s="3" t="s">
        <v>28</v>
      </c>
      <c r="C3" s="18" t="n">
        <v>-5</v>
      </c>
      <c r="D3" s="11" t="s">
        <v>41</v>
      </c>
      <c r="E3" s="11" t="s">
        <v>42</v>
      </c>
    </row>
    <row r="4" customFormat="false" ht="45" hidden="false" customHeight="true" outlineLevel="0" collapsed="false">
      <c r="A4" s="3" t="s">
        <v>21</v>
      </c>
      <c r="B4" s="3" t="s">
        <v>29</v>
      </c>
      <c r="C4" s="18" t="n">
        <v>-2</v>
      </c>
      <c r="D4" s="11" t="s">
        <v>43</v>
      </c>
      <c r="E4" s="11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2026-09-25T13:57:36Z</dcterms:created>
  <dc:creator>DELL</dc:creator>
  <dc:description/>
  <dc:language>en-US</dc:language>
  <cp:lastModifiedBy/>
  <dcterms:modified xsi:type="dcterms:W3CDTF">2026-09-25T17:26:06Z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